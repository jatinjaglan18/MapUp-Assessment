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E:\Assesment\MapUp-DA-Assessment-2024\submissions\"/>
    </mc:Choice>
  </mc:AlternateContent>
  <bookViews>
    <workbookView xWindow="-110" yWindow="-110" windowWidth="23260" windowHeight="12460" tabRatio="849" activeTab="1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1" i="15" l="1"/>
  <c r="H41" i="1" l="1"/>
  <c r="D22" i="19"/>
  <c r="D13" i="19"/>
  <c r="D14" i="19"/>
  <c r="D15" i="19"/>
  <c r="D16" i="19"/>
  <c r="D17" i="19"/>
  <c r="D18" i="19"/>
  <c r="D19" i="19"/>
  <c r="D20" i="19"/>
  <c r="D21" i="19"/>
  <c r="D12" i="19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24" i="18"/>
  <c r="C25" i="18"/>
  <c r="C26" i="18"/>
  <c r="C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6" i="18"/>
  <c r="B25" i="18"/>
  <c r="B26" i="18"/>
  <c r="B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6" i="18"/>
  <c r="C35" i="20"/>
  <c r="C31" i="20"/>
  <c r="C27" i="20"/>
  <c r="C24" i="20"/>
  <c r="C26" i="20"/>
  <c r="C32" i="20"/>
  <c r="C28" i="20"/>
  <c r="C33" i="20"/>
  <c r="C30" i="20"/>
  <c r="C29" i="20"/>
  <c r="C23" i="20"/>
  <c r="C34" i="20"/>
  <c r="C25" i="20"/>
</calcChain>
</file>

<file path=xl/sharedStrings.xml><?xml version="1.0" encoding="utf-8"?>
<sst xmlns="http://schemas.openxmlformats.org/spreadsheetml/2006/main" count="327" uniqueCount="182">
  <si>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</si>
  <si>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</si>
  <si>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</si>
  <si>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</si>
  <si>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</si>
  <si>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</si>
  <si>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</si>
  <si>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</si>
  <si>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</si>
  <si>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</si>
  <si>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</si>
  <si>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</si>
  <si>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</si>
  <si>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</si>
  <si>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</si>
  <si>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</si>
  <si>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</si>
  <si>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</si>
  <si>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</si>
  <si>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</si>
  <si>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</si>
  <si>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</si>
  <si>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</si>
  <si>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</si>
  <si>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</si>
  <si>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</si>
  <si>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</si>
  <si>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</si>
  <si>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</si>
  <si>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</si>
  <si>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</si>
  <si>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</si>
  <si>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</si>
  <si>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</si>
  <si>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</si>
  <si>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</si>
  <si>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</si>
  <si>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</si>
  <si>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</si>
  <si>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</si>
  <si>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</si>
  <si>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</si>
  <si>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</si>
  <si>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</si>
  <si>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</si>
  <si>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</si>
  <si>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</si>
  <si>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</si>
  <si>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</si>
  <si>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</si>
  <si>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</si>
  <si>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</si>
  <si>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</si>
  <si>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</si>
  <si>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</si>
  <si>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</si>
  <si>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</si>
  <si>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</si>
  <si>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</si>
  <si>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</si>
  <si>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</si>
  <si>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</si>
  <si>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</si>
  <si>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</si>
  <si>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</si>
  <si>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</si>
  <si>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</si>
  <si>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</si>
  <si>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</si>
  <si>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</si>
  <si>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</si>
  <si>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</si>
  <si>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</si>
  <si>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</si>
  <si>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</si>
  <si>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</si>
  <si>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</si>
  <si>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</si>
  <si>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</si>
  <si>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</si>
  <si>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</si>
  <si>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</si>
  <si>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</si>
  <si>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</si>
  <si>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</si>
  <si>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</si>
  <si>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</si>
  <si>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</si>
  <si>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</si>
  <si>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</si>
  <si>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</si>
  <si>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</si>
  <si>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</si>
  <si>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</si>
  <si>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</si>
  <si>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</si>
  <si>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</si>
  <si>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</si>
  <si>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</si>
  <si>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</si>
  <si>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</si>
  <si>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</si>
  <si>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</si>
  <si>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</si>
  <si>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</si>
  <si>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</si>
  <si>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</si>
  <si>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</si>
  <si>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</si>
  <si>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</si>
  <si>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</si>
  <si>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</si>
  <si>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</si>
  <si>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</si>
  <si>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</si>
  <si>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</si>
  <si>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</si>
  <si>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</si>
  <si>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</si>
  <si>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</si>
  <si>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</si>
  <si>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</si>
  <si>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</si>
  <si>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</si>
  <si>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</si>
  <si>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</si>
  <si>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</si>
  <si>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</si>
  <si>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</si>
  <si>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</si>
  <si>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</si>
  <si>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</si>
  <si>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</si>
  <si>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</si>
  <si>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</si>
  <si>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</si>
  <si>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</si>
  <si>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</si>
  <si>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</si>
  <si>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</si>
  <si>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</si>
  <si>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</si>
  <si>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</si>
  <si>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</si>
  <si>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</si>
  <si>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</si>
  <si>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</si>
  <si>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</si>
  <si>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</si>
  <si>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</si>
  <si>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</si>
  <si>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</si>
  <si>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</si>
  <si>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</si>
  <si>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</si>
  <si>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</si>
  <si>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</si>
  <si>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</si>
  <si>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</si>
  <si>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</si>
  <si>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</si>
  <si>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</si>
  <si>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</si>
  <si>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</si>
  <si>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</si>
  <si>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</si>
  <si>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</si>
  <si>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</si>
  <si>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</si>
  <si>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</si>
  <si>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</si>
  <si>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</si>
  <si>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</si>
  <si>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</si>
  <si>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</si>
  <si>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</si>
  <si>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IFERROR(cell address,value to replace)</t>
  </si>
  <si>
    <t>using IFERROR() we check if that cell has #N/A then fill the current cell by 20 if true orelse fill original data present in the cell</t>
  </si>
  <si>
    <t>VLOOKUP()</t>
  </si>
  <si>
    <t xml:space="preserve">doing method chaining using VLOOKUP() </t>
  </si>
  <si>
    <t xml:space="preserve">  </t>
  </si>
  <si>
    <t>=SUMIF(H2:H40, "&gt;20")'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</si>
</sst>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6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14" fillId="0" borderId="0" xfId="0" quotePrefix="1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7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7" t="s">
        <v>107</v>
      </c>
    </row>
    <row r="2" spans="1:3" x14ac:dyDescent="0.3">
      <c r="A2" s="2" t="s">
        <v>108</v>
      </c>
    </row>
    <row r="3" spans="1:3" x14ac:dyDescent="0.3">
      <c r="A3" s="2" t="s">
        <v>109</v>
      </c>
    </row>
    <row r="4" spans="1:3" ht="14.5" x14ac:dyDescent="0.35">
      <c r="A4" s="2" t="s">
        <v>110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4" t="s">
        <v>170</v>
      </c>
      <c r="B9" s="25" t="s">
        <v>168</v>
      </c>
    </row>
    <row r="10" spans="1:3" x14ac:dyDescent="0.3">
      <c r="A10" s="33" t="s">
        <v>171</v>
      </c>
      <c r="B10" s="35">
        <v>25</v>
      </c>
    </row>
    <row r="11" spans="1:3" x14ac:dyDescent="0.3">
      <c r="A11" s="33" t="s">
        <v>54</v>
      </c>
      <c r="B11" s="35">
        <v>30</v>
      </c>
    </row>
    <row r="12" spans="1:3" x14ac:dyDescent="0.3">
      <c r="A12" s="33" t="s">
        <v>55</v>
      </c>
      <c r="B12" s="35">
        <v>10</v>
      </c>
    </row>
    <row r="13" spans="1:3" x14ac:dyDescent="0.3">
      <c r="A13" s="33" t="s">
        <v>84</v>
      </c>
      <c r="B13" s="35">
        <v>20</v>
      </c>
    </row>
    <row r="14" spans="1:3" x14ac:dyDescent="0.3">
      <c r="A14" s="33" t="s">
        <v>97</v>
      </c>
      <c r="B14" s="35">
        <v>40</v>
      </c>
    </row>
    <row r="15" spans="1:3" x14ac:dyDescent="0.3">
      <c r="A15" s="36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1"/>
  <sheetViews>
    <sheetView tabSelected="1" zoomScaleNormal="100" workbookViewId="0">
      <pane ySplit="1" topLeftCell="A2" activePane="bottomLeft" state="frozen"/>
      <selection pane="bottomLeft" activeCell="H41" sqref="H41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4" bestFit="1" customWidth="1"/>
    <col min="25" max="16384" width="9" style="1"/>
  </cols>
  <sheetData>
    <row r="1" spans="1:24" s="3" customFormat="1" ht="14.75" customHeight="1" x14ac:dyDescent="0.35">
      <c r="A1" s="26" t="s">
        <v>63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78</v>
      </c>
      <c r="H1" s="28" t="s">
        <v>64</v>
      </c>
      <c r="I1" s="28" t="s">
        <v>65</v>
      </c>
      <c r="J1" s="29" t="s">
        <v>66</v>
      </c>
      <c r="K1" s="29" t="s">
        <v>67</v>
      </c>
      <c r="L1" s="29" t="s">
        <v>68</v>
      </c>
      <c r="M1" s="28" t="s">
        <v>69</v>
      </c>
      <c r="N1" s="28" t="s">
        <v>70</v>
      </c>
      <c r="O1" s="28" t="s">
        <v>71</v>
      </c>
      <c r="P1" s="29" t="s">
        <v>72</v>
      </c>
      <c r="Q1" s="29" t="s">
        <v>73</v>
      </c>
      <c r="R1" s="29" t="s">
        <v>74</v>
      </c>
      <c r="S1" s="28" t="s">
        <v>79</v>
      </c>
      <c r="T1" s="28" t="s">
        <v>75</v>
      </c>
      <c r="U1" s="29" t="s">
        <v>80</v>
      </c>
      <c r="V1" s="29" t="s">
        <v>76</v>
      </c>
      <c r="W1" s="29" t="s">
        <v>77</v>
      </c>
      <c r="X1" s="43" t="s">
        <v>104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5">
      <c r="A27" s="1" t="s">
        <v>56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5">
      <c r="A30" s="1" t="s">
        <v>57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  <row r="41" spans="1:24" x14ac:dyDescent="0.35">
      <c r="H41" s="3">
        <f>SUMIF(H2:H40, "&gt;20")</f>
        <v>1473.0000000000002</v>
      </c>
    </row>
  </sheetData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G1:W40">
    <cfRule type="cellIs" dxfId="2" priority="3" operator="equal">
      <formula>0</formula>
    </cfRule>
    <cfRule type="cellIs" dxfId="1" priority="2" operator="equal">
      <formula>0</formula>
    </cfRule>
    <cfRule type="cellIs" dxfId="0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zoomScaleNormal="100" workbookViewId="0">
      <selection activeCell="C6" sqref="C6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180</v>
      </c>
      <c r="B1" s="4" t="s">
        <v>47</v>
      </c>
      <c r="C1" s="4" t="s">
        <v>44</v>
      </c>
      <c r="E1" s="4" t="s">
        <v>175</v>
      </c>
    </row>
    <row r="2" spans="1:5" x14ac:dyDescent="0.35">
      <c r="A2" s="2"/>
      <c r="B2" s="5" t="s">
        <v>159</v>
      </c>
      <c r="C2" s="2"/>
    </row>
    <row r="3" spans="1:5" x14ac:dyDescent="0.35">
      <c r="A3" s="6">
        <v>1</v>
      </c>
      <c r="B3" s="2" t="s">
        <v>106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103</v>
      </c>
      <c r="C5" s="45" t="s">
        <v>181</v>
      </c>
      <c r="E5" s="1">
        <v>10</v>
      </c>
    </row>
    <row r="6" spans="1:5" x14ac:dyDescent="0.35">
      <c r="A6" s="6">
        <v>4</v>
      </c>
      <c r="B6" s="2" t="s">
        <v>105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  <row r="41" spans="8:8" x14ac:dyDescent="0.35">
      <c r="H41" s="1" t="b">
        <f>Task_1!C5=SUMIF(H2:H40, "&gt;20")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selection activeCell="B6" sqref="B6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39" customFormat="1" ht="21" x14ac:dyDescent="0.5">
      <c r="A1" s="40" t="s">
        <v>54</v>
      </c>
      <c r="B1" s="39" t="s">
        <v>163</v>
      </c>
    </row>
    <row r="2" spans="1:7" s="39" customFormat="1" ht="21" x14ac:dyDescent="0.5">
      <c r="B2" s="39" t="s">
        <v>160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161</v>
      </c>
      <c r="B4" s="1"/>
      <c r="C4" s="1"/>
      <c r="D4" s="1"/>
      <c r="E4" s="1"/>
      <c r="F4" s="1"/>
      <c r="G4" s="1"/>
    </row>
    <row r="5" spans="1:7" ht="14.5" x14ac:dyDescent="0.35">
      <c r="A5" s="19" t="s">
        <v>63</v>
      </c>
      <c r="B5" s="20" t="s">
        <v>78</v>
      </c>
      <c r="C5" s="21" t="s">
        <v>70</v>
      </c>
      <c r="D5" s="20" t="s">
        <v>74</v>
      </c>
      <c r="E5" s="21" t="s">
        <v>75</v>
      </c>
      <c r="F5" s="22" t="s">
        <v>76</v>
      </c>
    </row>
    <row r="6" spans="1:7" ht="14.5" x14ac:dyDescent="0.35">
      <c r="A6" s="7" t="s">
        <v>40</v>
      </c>
      <c r="B6" s="11">
        <f>VLOOKUP(A6, Dataset!$A$1:$X$40,7, FALSE)</f>
        <v>2.7</v>
      </c>
      <c r="C6" s="11">
        <f>VLOOKUP(A6, Dataset!$A$1:$X$40,14, FALSE)</f>
        <v>7.6</v>
      </c>
      <c r="D6" s="11">
        <f>VLOOKUP(A6, Dataset!$A$1:$X$40,18, FALSE)</f>
        <v>4.2</v>
      </c>
      <c r="E6" s="11">
        <f>VLOOKUP(A6, Dataset!$A$1:$X$40,20, FALSE)</f>
        <v>8.9</v>
      </c>
      <c r="F6" s="8">
        <f>VLOOKUP(A6, Dataset!$A$1:$X$40,22, FALSE)</f>
        <v>4.2</v>
      </c>
    </row>
    <row r="7" spans="1:7" ht="14.5" x14ac:dyDescent="0.35">
      <c r="A7" s="7" t="s">
        <v>4</v>
      </c>
      <c r="B7" s="11">
        <f>VLOOKUP(A7, Dataset!$A$1:$X$40,7, FALSE)</f>
        <v>2.7</v>
      </c>
      <c r="C7" s="11">
        <f>VLOOKUP(A7, Dataset!$A$1:$X$40,14, FALSE)</f>
        <v>7.6</v>
      </c>
      <c r="D7" s="11">
        <f>VLOOKUP(A7, Dataset!$A$1:$X$40,18, FALSE)</f>
        <v>4.2</v>
      </c>
      <c r="E7" s="11">
        <f>VLOOKUP(A7, Dataset!$A$1:$X$40,20, FALSE)</f>
        <v>8.9</v>
      </c>
      <c r="F7" s="8">
        <f>VLOOKUP(A7, Dataset!$A$1:$X$40,22, FALSE)</f>
        <v>4.2</v>
      </c>
    </row>
    <row r="8" spans="1:7" ht="14.5" x14ac:dyDescent="0.35">
      <c r="A8" s="7" t="s">
        <v>7</v>
      </c>
      <c r="B8" s="11">
        <f>VLOOKUP(A8, Dataset!$A$1:$X$40,7, FALSE)</f>
        <v>3.6</v>
      </c>
      <c r="C8" s="11">
        <f>VLOOKUP(A8, Dataset!$A$1:$X$40,14, FALSE)</f>
        <v>11.1</v>
      </c>
      <c r="D8" s="11">
        <f>VLOOKUP(A8, Dataset!$A$1:$X$40,18, FALSE)</f>
        <v>5.8</v>
      </c>
      <c r="E8" s="11">
        <f>VLOOKUP(A8, Dataset!$A$1:$X$40,20, FALSE)</f>
        <v>12.2</v>
      </c>
      <c r="F8" s="8">
        <f>VLOOKUP(A8, Dataset!$A$1:$X$40,22, FALSE)</f>
        <v>5.8</v>
      </c>
    </row>
    <row r="9" spans="1:7" ht="14.5" x14ac:dyDescent="0.35">
      <c r="A9" s="7" t="s">
        <v>8</v>
      </c>
      <c r="B9" s="11">
        <f>VLOOKUP(A9, Dataset!$A$1:$X$40,7, FALSE)</f>
        <v>4.9000000000000004</v>
      </c>
      <c r="C9" s="11">
        <f>VLOOKUP(A9, Dataset!$A$1:$X$40,14, FALSE)</f>
        <v>13.3</v>
      </c>
      <c r="D9" s="11">
        <f>VLOOKUP(A9, Dataset!$A$1:$X$40,18, FALSE)</f>
        <v>8.1</v>
      </c>
      <c r="E9" s="11">
        <f>VLOOKUP(A9, Dataset!$A$1:$X$40,20, FALSE)</f>
        <v>17</v>
      </c>
      <c r="F9" s="8">
        <f>VLOOKUP(A9, Dataset!$A$1:$X$40,22, FALSE)</f>
        <v>8.1</v>
      </c>
    </row>
    <row r="10" spans="1:7" ht="14.5" x14ac:dyDescent="0.35">
      <c r="A10" s="7" t="s">
        <v>11</v>
      </c>
      <c r="B10" s="11">
        <f>VLOOKUP(A10, Dataset!$A$1:$X$40,7, FALSE)</f>
        <v>9.4</v>
      </c>
      <c r="C10" s="11">
        <f>VLOOKUP(A10, Dataset!$A$1:$X$40,14, FALSE)</f>
        <v>28.3</v>
      </c>
      <c r="D10" s="11">
        <f>VLOOKUP(A10, Dataset!$A$1:$X$40,18, FALSE)</f>
        <v>16.100000000000001</v>
      </c>
      <c r="E10" s="11">
        <f>VLOOKUP(A10, Dataset!$A$1:$X$40,20, FALSE)</f>
        <v>32.799999999999997</v>
      </c>
      <c r="F10" s="8">
        <f>VLOOKUP(A10, Dataset!$A$1:$X$40,22, FALSE)</f>
        <v>16.100000000000001</v>
      </c>
    </row>
    <row r="11" spans="1:7" ht="14.5" x14ac:dyDescent="0.35">
      <c r="A11" s="7" t="s">
        <v>12</v>
      </c>
      <c r="B11" s="11">
        <f>VLOOKUP(A11, Dataset!$A$1:$X$40,7, FALSE)</f>
        <v>11.6</v>
      </c>
      <c r="C11" s="11">
        <f>VLOOKUP(A11, Dataset!$A$1:$X$40,14, FALSE)</f>
        <v>35.200000000000003</v>
      </c>
      <c r="D11" s="11">
        <f>VLOOKUP(A11, Dataset!$A$1:$X$40,18, FALSE)</f>
        <v>21.3</v>
      </c>
      <c r="E11" s="11">
        <f>VLOOKUP(A11, Dataset!$A$1:$X$40,20, FALSE)</f>
        <v>43</v>
      </c>
      <c r="F11" s="8">
        <f>VLOOKUP(A11, Dataset!$A$1:$X$40,22, FALSE)</f>
        <v>21.3</v>
      </c>
    </row>
    <row r="12" spans="1:7" ht="14.5" x14ac:dyDescent="0.35">
      <c r="A12" s="7" t="s">
        <v>14</v>
      </c>
      <c r="B12" s="11">
        <f>VLOOKUP(A12, Dataset!$A$1:$X$40,7, FALSE)</f>
        <v>18.399999999999999</v>
      </c>
      <c r="C12" s="11">
        <f>VLOOKUP(A12, Dataset!$A$1:$X$40,14, FALSE)</f>
        <v>55.6</v>
      </c>
      <c r="D12" s="11">
        <f>VLOOKUP(A12, Dataset!$A$1:$X$40,18, FALSE)</f>
        <v>33.799999999999997</v>
      </c>
      <c r="E12" s="11">
        <f>VLOOKUP(A12, Dataset!$A$1:$X$40,20, FALSE)</f>
        <v>67.900000000000006</v>
      </c>
      <c r="F12" s="8">
        <f>VLOOKUP(A12, Dataset!$A$1:$X$40,22, FALSE)</f>
        <v>33.799999999999997</v>
      </c>
    </row>
    <row r="13" spans="1:7" ht="14.5" x14ac:dyDescent="0.35">
      <c r="A13" s="7" t="s">
        <v>15</v>
      </c>
      <c r="B13" s="11">
        <f>VLOOKUP(A13, Dataset!$A$1:$X$40,7, FALSE)</f>
        <v>0</v>
      </c>
      <c r="C13" s="11">
        <f>VLOOKUP(A13, Dataset!$A$1:$X$40,14, FALSE)</f>
        <v>0</v>
      </c>
      <c r="D13" s="11">
        <f>VLOOKUP(A13, Dataset!$A$1:$X$40,18, FALSE)</f>
        <v>0</v>
      </c>
      <c r="E13" s="11">
        <f>VLOOKUP(A13, Dataset!$A$1:$X$40,20, FALSE)</f>
        <v>0</v>
      </c>
      <c r="F13" s="8">
        <f>VLOOKUP(A13, Dataset!$A$1:$X$40,22, FALSE)</f>
        <v>0</v>
      </c>
    </row>
    <row r="14" spans="1:7" ht="14.5" x14ac:dyDescent="0.35">
      <c r="A14" s="7" t="s">
        <v>16</v>
      </c>
      <c r="B14" s="11">
        <f>VLOOKUP(A14, Dataset!$A$1:$X$40,7, FALSE)</f>
        <v>21.9</v>
      </c>
      <c r="C14" s="11">
        <f>VLOOKUP(A14, Dataset!$A$1:$X$40,14, FALSE)</f>
        <v>61.5</v>
      </c>
      <c r="D14" s="11">
        <f>VLOOKUP(A14, Dataset!$A$1:$X$40,18, FALSE)</f>
        <v>40.1</v>
      </c>
      <c r="E14" s="11">
        <f>VLOOKUP(A14, Dataset!$A$1:$X$40,20, FALSE)</f>
        <v>76.599999999999994</v>
      </c>
      <c r="F14" s="8">
        <f>VLOOKUP(A14, Dataset!$A$1:$X$40,22, FALSE)</f>
        <v>40.1</v>
      </c>
    </row>
    <row r="15" spans="1:7" ht="14.5" x14ac:dyDescent="0.35">
      <c r="A15" s="7" t="s">
        <v>18</v>
      </c>
      <c r="B15" s="11">
        <f>VLOOKUP(A15, Dataset!$A$1:$X$40,7, FALSE)</f>
        <v>26.8</v>
      </c>
      <c r="C15" s="11">
        <f>VLOOKUP(A15, Dataset!$A$1:$X$40,14, FALSE)</f>
        <v>79.599999999999994</v>
      </c>
      <c r="D15" s="11">
        <f>VLOOKUP(A15, Dataset!$A$1:$X$40,18, FALSE)</f>
        <v>47.9</v>
      </c>
      <c r="E15" s="11">
        <f>VLOOKUP(A15, Dataset!$A$1:$X$40,20, FALSE)</f>
        <v>96.8</v>
      </c>
      <c r="F15" s="8">
        <f>VLOOKUP(A15, Dataset!$A$1:$X$40,22, FALSE)</f>
        <v>47.9</v>
      </c>
    </row>
    <row r="16" spans="1:7" ht="14.5" x14ac:dyDescent="0.35">
      <c r="A16" s="7" t="s">
        <v>20</v>
      </c>
      <c r="B16" s="11">
        <f>VLOOKUP(A16, Dataset!$A$1:$X$40,7, FALSE)</f>
        <v>28.5</v>
      </c>
      <c r="C16" s="11">
        <f>VLOOKUP(A16, Dataset!$A$1:$X$40,14, FALSE)</f>
        <v>85.4</v>
      </c>
      <c r="D16" s="11">
        <f>VLOOKUP(A16, Dataset!$A$1:$X$40,18, FALSE)</f>
        <v>52.3</v>
      </c>
      <c r="E16" s="11">
        <f>VLOOKUP(A16, Dataset!$A$1:$X$40,20, FALSE)</f>
        <v>106.1</v>
      </c>
      <c r="F16" s="8">
        <f>VLOOKUP(A16, Dataset!$A$1:$X$40,22, FALSE)</f>
        <v>52.3</v>
      </c>
    </row>
    <row r="17" spans="1:6" ht="14.5" x14ac:dyDescent="0.35">
      <c r="A17" s="7" t="s">
        <v>22</v>
      </c>
      <c r="B17" s="11">
        <f>VLOOKUP(A17, Dataset!$A$1:$X$40,7, FALSE)</f>
        <v>30.7</v>
      </c>
      <c r="C17" s="11">
        <f>VLOOKUP(A17, Dataset!$A$1:$X$40,14, FALSE)</f>
        <v>92.1</v>
      </c>
      <c r="D17" s="11">
        <f>VLOOKUP(A17, Dataset!$A$1:$X$40,18, FALSE)</f>
        <v>57</v>
      </c>
      <c r="E17" s="11">
        <f>VLOOKUP(A17, Dataset!$A$1:$X$40,20, FALSE)</f>
        <v>115.1</v>
      </c>
      <c r="F17" s="8">
        <f>VLOOKUP(A17, Dataset!$A$1:$X$40,22, FALSE)</f>
        <v>57</v>
      </c>
    </row>
    <row r="18" spans="1:6" ht="14.5" x14ac:dyDescent="0.35">
      <c r="A18" s="7" t="s">
        <v>23</v>
      </c>
      <c r="B18" s="11">
        <f>VLOOKUP(A18, Dataset!$A$1:$X$40,7, FALSE)</f>
        <v>33.799999999999997</v>
      </c>
      <c r="C18" s="11">
        <f>VLOOKUP(A18, Dataset!$A$1:$X$40,14, FALSE)</f>
        <v>101.3</v>
      </c>
      <c r="D18" s="11">
        <f>VLOOKUP(A18, Dataset!$A$1:$X$40,18, FALSE)</f>
        <v>61.4</v>
      </c>
      <c r="E18" s="11">
        <f>VLOOKUP(A18, Dataset!$A$1:$X$40,20, FALSE)</f>
        <v>124.4</v>
      </c>
      <c r="F18" s="8">
        <f>VLOOKUP(A18, Dataset!$A$1:$X$40,22, FALSE)</f>
        <v>61.4</v>
      </c>
    </row>
    <row r="19" spans="1:6" ht="14.5" x14ac:dyDescent="0.35">
      <c r="A19" s="7" t="s">
        <v>24</v>
      </c>
      <c r="B19" s="11">
        <f>VLOOKUP(A19, Dataset!$A$1:$X$40,7, FALSE)</f>
        <v>34.700000000000003</v>
      </c>
      <c r="C19" s="11">
        <f>VLOOKUP(A19, Dataset!$A$1:$X$40,14, FALSE)</f>
        <v>106.1</v>
      </c>
      <c r="D19" s="11">
        <f>VLOOKUP(A19, Dataset!$A$1:$X$40,18, FALSE)</f>
        <v>63.6</v>
      </c>
      <c r="E19" s="11">
        <f>VLOOKUP(A19, Dataset!$A$1:$X$40,20, FALSE)</f>
        <v>128.6</v>
      </c>
      <c r="F19" s="8">
        <f>VLOOKUP(A19, Dataset!$A$1:$X$40,22, FALSE)</f>
        <v>63.6</v>
      </c>
    </row>
    <row r="20" spans="1:6" ht="14.5" x14ac:dyDescent="0.35">
      <c r="A20" s="7" t="s">
        <v>28</v>
      </c>
      <c r="B20" s="11">
        <f>VLOOKUP(A20, Dataset!$A$1:$X$40,7, FALSE)</f>
        <v>0</v>
      </c>
      <c r="C20" s="11">
        <f>VLOOKUP(A20, Dataset!$A$1:$X$40,14, FALSE)</f>
        <v>0</v>
      </c>
      <c r="D20" s="11">
        <f>VLOOKUP(A20, Dataset!$A$1:$X$40,18, FALSE)</f>
        <v>0</v>
      </c>
      <c r="E20" s="11">
        <f>VLOOKUP(A20, Dataset!$A$1:$X$40,20, FALSE)</f>
        <v>0</v>
      </c>
      <c r="F20" s="8">
        <f>VLOOKUP(A20, Dataset!$A$1:$X$40,22, FALSE)</f>
        <v>0</v>
      </c>
    </row>
    <row r="21" spans="1:6" ht="14.5" x14ac:dyDescent="0.35">
      <c r="A21" s="7" t="s">
        <v>56</v>
      </c>
      <c r="B21" s="11">
        <f>VLOOKUP(A21, Dataset!$A$1:$X$40,7, FALSE)</f>
        <v>41.3</v>
      </c>
      <c r="C21" s="11">
        <f>VLOOKUP(A21, Dataset!$A$1:$X$40,14, FALSE)</f>
        <v>124.4</v>
      </c>
      <c r="D21" s="11">
        <f>VLOOKUP(A21, Dataset!$A$1:$X$40,18, FALSE)</f>
        <v>75</v>
      </c>
      <c r="E21" s="11">
        <f>VLOOKUP(A21, Dataset!$A$1:$X$40,20, FALSE)</f>
        <v>151.5</v>
      </c>
      <c r="F21" s="8">
        <f>VLOOKUP(A21, Dataset!$A$1:$X$40,22, FALSE)</f>
        <v>75</v>
      </c>
    </row>
    <row r="22" spans="1:6" ht="14.5" x14ac:dyDescent="0.35">
      <c r="A22" s="7" t="s">
        <v>57</v>
      </c>
      <c r="B22" s="11">
        <f>VLOOKUP(A22, Dataset!$A$1:$X$40,7, FALSE)</f>
        <v>-1</v>
      </c>
      <c r="C22" s="11">
        <f>VLOOKUP(A22, Dataset!$A$1:$X$40,14, FALSE)</f>
        <v>-1</v>
      </c>
      <c r="D22" s="11">
        <f>VLOOKUP(A22, Dataset!$A$1:$X$40,18, FALSE)</f>
        <v>-1</v>
      </c>
      <c r="E22" s="11">
        <f>VLOOKUP(A22, Dataset!$A$1:$X$40,20, FALSE)</f>
        <v>-1</v>
      </c>
      <c r="F22" s="8">
        <f>VLOOKUP(A22, Dataset!$A$1:$X$40,22, FALSE)</f>
        <v>-1</v>
      </c>
    </row>
    <row r="23" spans="1:6" ht="14.5" x14ac:dyDescent="0.35">
      <c r="A23" s="7" t="s">
        <v>31</v>
      </c>
      <c r="B23" s="11">
        <f>VLOOKUP(A23, Dataset!$A$1:$X$40,7, FALSE)</f>
        <v>45</v>
      </c>
      <c r="C23" s="11">
        <f>VLOOKUP(A23, Dataset!$A$1:$X$40,14, FALSE)</f>
        <v>133.4</v>
      </c>
      <c r="D23" s="11">
        <f>VLOOKUP(A23, Dataset!$A$1:$X$40,18, FALSE)</f>
        <v>79.400000000000006</v>
      </c>
      <c r="E23" s="11">
        <f>VLOOKUP(A23, Dataset!$A$1:$X$40,20, FALSE)</f>
        <v>160.9</v>
      </c>
      <c r="F23" s="8">
        <f>VLOOKUP(A23, Dataset!$A$1:$X$40,22, FALSE)</f>
        <v>79.400000000000006</v>
      </c>
    </row>
    <row r="24" spans="1:6" ht="14.5" x14ac:dyDescent="0.35">
      <c r="A24" s="7" t="s">
        <v>32</v>
      </c>
      <c r="B24" s="11">
        <f>VLOOKUP(A24, Dataset!$A$1:$X$40,7, FALSE)</f>
        <v>-1</v>
      </c>
      <c r="C24" s="11">
        <f>VLOOKUP(A24, Dataset!$A$1:$X$40,14, FALSE)</f>
        <v>-1</v>
      </c>
      <c r="D24" s="11">
        <f>VLOOKUP(A24, Dataset!$A$1:$X$40,18, FALSE)</f>
        <v>-1</v>
      </c>
      <c r="E24" s="11">
        <f>VLOOKUP(A24, Dataset!$A$1:$X$40,20, FALSE)</f>
        <v>-1</v>
      </c>
      <c r="F24" s="8">
        <f>VLOOKUP(A24, Dataset!$A$1:$X$40,22, FALSE)</f>
        <v>-1</v>
      </c>
    </row>
    <row r="25" spans="1:6" ht="14.5" x14ac:dyDescent="0.35">
      <c r="A25" s="7" t="s">
        <v>34</v>
      </c>
      <c r="B25" s="11">
        <f>VLOOKUP(A25, Dataset!$A$1:$X$40,7, FALSE)</f>
        <v>43.3</v>
      </c>
      <c r="C25" s="11">
        <f>VLOOKUP(A25, Dataset!$A$1:$X$40,14, FALSE)</f>
        <v>128.6</v>
      </c>
      <c r="D25" s="11">
        <f>VLOOKUP(A25, Dataset!$A$1:$X$40,18, FALSE)</f>
        <v>79.400000000000006</v>
      </c>
      <c r="E25" s="11">
        <f>VLOOKUP(A25, Dataset!$A$1:$X$40,20, FALSE)</f>
        <v>160.9</v>
      </c>
      <c r="F25" s="8">
        <f>VLOOKUP(A25, Dataset!$A$1:$X$40,22, FALSE)</f>
        <v>79.400000000000006</v>
      </c>
    </row>
    <row r="26" spans="1:6" ht="14.5" x14ac:dyDescent="0.35">
      <c r="A26" s="7" t="s">
        <v>37</v>
      </c>
      <c r="B26" s="11">
        <f>VLOOKUP(A26, Dataset!$A$1:$X$40,7, FALSE)</f>
        <v>49.1</v>
      </c>
      <c r="C26" s="11">
        <f>VLOOKUP(A26, Dataset!$A$1:$X$40,14, FALSE)</f>
        <v>146.80000000000001</v>
      </c>
      <c r="D26" s="11">
        <f>VLOOKUP(A26, Dataset!$A$1:$X$40,18, FALSE)</f>
        <v>90.9</v>
      </c>
      <c r="E26" s="11">
        <f>VLOOKUP(A26, Dataset!$A$1:$X$40,20, FALSE)</f>
        <v>183.5</v>
      </c>
      <c r="F26" s="8">
        <f>VLOOKUP(A26, Dataset!$A$1:$X$40,22, FALSE)</f>
        <v>90.9</v>
      </c>
    </row>
    <row r="27" spans="1:6" ht="14.5" x14ac:dyDescent="0.35">
      <c r="A27" s="7" t="s">
        <v>39</v>
      </c>
      <c r="B27" s="11">
        <f>VLOOKUP(A27, Dataset!$A$1:$X$40,7, FALSE)</f>
        <v>51.8</v>
      </c>
      <c r="C27" s="11">
        <f>VLOOKUP(A27, Dataset!$A$1:$X$40,14, FALSE)</f>
        <v>156.4</v>
      </c>
      <c r="D27" s="11">
        <f>VLOOKUP(A27, Dataset!$A$1:$X$40,18, FALSE)</f>
        <v>93.1</v>
      </c>
      <c r="E27" s="11">
        <f>VLOOKUP(A27, Dataset!$A$1:$X$40,20, FALSE)</f>
        <v>188.1</v>
      </c>
      <c r="F27" s="8">
        <f>VLOOKUP(A27, Dataset!$A$1:$X$40,22, FALSE)</f>
        <v>93.1</v>
      </c>
    </row>
    <row r="28" spans="1:6" ht="14.5" x14ac:dyDescent="0.35">
      <c r="A28" s="18" t="s">
        <v>81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5" x14ac:dyDescent="0.35">
      <c r="A29" s="18" t="s">
        <v>82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5" x14ac:dyDescent="0.35">
      <c r="A30" s="18" t="s">
        <v>83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F16" sqref="F16:F54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39" customFormat="1" ht="21" x14ac:dyDescent="0.5">
      <c r="A1" s="40" t="s">
        <v>55</v>
      </c>
      <c r="B1" s="39" t="s">
        <v>173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150</v>
      </c>
    </row>
    <row r="5" spans="1:10" ht="18.5" x14ac:dyDescent="0.45">
      <c r="A5" s="41" t="s">
        <v>52</v>
      </c>
      <c r="B5" s="38"/>
    </row>
    <row r="6" spans="1:10" ht="18.5" x14ac:dyDescent="0.45">
      <c r="A6" s="41" t="s">
        <v>152</v>
      </c>
      <c r="B6" s="38"/>
    </row>
    <row r="7" spans="1:10" ht="18.5" x14ac:dyDescent="0.45">
      <c r="A7" s="41"/>
      <c r="B7" s="38"/>
    </row>
    <row r="9" spans="1:10" ht="23.5" x14ac:dyDescent="0.55000000000000004">
      <c r="A9" s="17" t="s">
        <v>164</v>
      </c>
      <c r="I9" s="2"/>
      <c r="J9" s="2"/>
    </row>
    <row r="10" spans="1:10" x14ac:dyDescent="0.35">
      <c r="A10" s="32" t="s">
        <v>101</v>
      </c>
      <c r="B10" s="16" t="s">
        <v>48</v>
      </c>
      <c r="C10" s="16" t="s">
        <v>49</v>
      </c>
      <c r="D10" s="16" t="s">
        <v>50</v>
      </c>
      <c r="E10" s="16" t="s">
        <v>51</v>
      </c>
      <c r="F10" s="16" t="s">
        <v>53</v>
      </c>
      <c r="I10" s="2"/>
      <c r="J10" s="2"/>
    </row>
    <row r="11" spans="1:10" x14ac:dyDescent="0.35">
      <c r="A11" s="9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161</v>
      </c>
    </row>
    <row r="15" spans="1:10" x14ac:dyDescent="0.35">
      <c r="A15" s="13" t="s">
        <v>102</v>
      </c>
      <c r="B15" s="16" t="s">
        <v>48</v>
      </c>
      <c r="C15" s="14" t="s">
        <v>49</v>
      </c>
      <c r="D15" s="16" t="s">
        <v>50</v>
      </c>
      <c r="E15" s="14" t="s">
        <v>51</v>
      </c>
      <c r="F15" s="16" t="s">
        <v>53</v>
      </c>
    </row>
    <row r="16" spans="1:10" x14ac:dyDescent="0.35">
      <c r="A16" s="7" t="s">
        <v>120</v>
      </c>
      <c r="B16" s="11" t="str">
        <f>TRIM(MID(SUBSTITUTE(A16, "-", REPT(" ", LEN(A16))), 1 + (1-1)*LEN(A16), LEN(A16)))</f>
        <v>20000</v>
      </c>
      <c r="C16" s="1" t="str">
        <f>TRIM(MID(SUBSTITUTE(A16, "-", REPT(" ", LEN(A16))), 1 + (2-1)*LEN(A16), LEN(A16)))</f>
        <v>Monday</v>
      </c>
      <c r="D16" s="11" t="str">
        <f>TRIM(MID(SUBSTITUTE(A16, "-", REPT(" ", LEN(A16))), 1 + (3-1)*LEN(A16), LEN(A16)))</f>
        <v>0</v>
      </c>
      <c r="E16" s="1" t="str">
        <f>TRIM(MID(SUBSTITUTE(A16, "-", REPT(" ", LEN(A16))), 1 + (4-1)*LEN(A16), LEN(A16)))</f>
        <v>Sunday</v>
      </c>
      <c r="F16" s="11" t="str">
        <f>TRIM(MID(SUBSTITUTE(A16, "-", REPT(" ", LEN(A16))), 1 + (5-1)*LEN(A16), LEN(A16)))</f>
        <v>24</v>
      </c>
    </row>
    <row r="17" spans="1:6" x14ac:dyDescent="0.35">
      <c r="A17" s="7" t="s">
        <v>121</v>
      </c>
      <c r="B17" s="11" t="str">
        <f t="shared" ref="B17:B54" si="0">TRIM(MID(SUBSTITUTE(A17, "-", REPT(" ", LEN(A17))), 1 + (1-1)*LEN(A17), LEN(A17)))</f>
        <v>20002</v>
      </c>
      <c r="C17" s="1" t="str">
        <f t="shared" ref="C17:C54" si="1">TRIM(MID(SUBSTITUTE(A17, "-", REPT(" ", LEN(A17))), 1 + (2-1)*LEN(A17), LEN(A17)))</f>
        <v>Monday</v>
      </c>
      <c r="D17" s="11" t="str">
        <f t="shared" ref="D17:D54" si="2">TRIM(MID(SUBSTITUTE(A17, "-", REPT(" ", LEN(A17))), 1 + (3-1)*LEN(A17), LEN(A17)))</f>
        <v>0</v>
      </c>
      <c r="E17" s="1" t="str">
        <f t="shared" ref="E17:E54" si="3">TRIM(MID(SUBSTITUTE(A17, "-", REPT(" ", LEN(A17))), 1 + (4-1)*LEN(A17), LEN(A17)))</f>
        <v>Sunday</v>
      </c>
      <c r="F17" s="11" t="str">
        <f t="shared" ref="F17:F54" si="4">TRIM(MID(SUBSTITUTE(A17, "-", REPT(" ", LEN(A17))), 1 + (5-1)*LEN(A17), LEN(A17)))</f>
        <v>24</v>
      </c>
    </row>
    <row r="18" spans="1:6" x14ac:dyDescent="0.35">
      <c r="A18" s="7" t="s">
        <v>122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 x14ac:dyDescent="0.35">
      <c r="A19" s="7" t="s">
        <v>123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 x14ac:dyDescent="0.35">
      <c r="A20" s="7" t="s">
        <v>124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 x14ac:dyDescent="0.35">
      <c r="A21" s="7" t="s">
        <v>125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 x14ac:dyDescent="0.35">
      <c r="A22" s="7" t="s">
        <v>126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 x14ac:dyDescent="0.35">
      <c r="A23" s="7" t="s">
        <v>127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 x14ac:dyDescent="0.35">
      <c r="A24" s="7" t="s">
        <v>128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 x14ac:dyDescent="0.35">
      <c r="A25" s="7" t="s">
        <v>129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 x14ac:dyDescent="0.35">
      <c r="A26" s="7" t="s">
        <v>130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 x14ac:dyDescent="0.35">
      <c r="A27" s="7" t="s">
        <v>131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 x14ac:dyDescent="0.35">
      <c r="A28" s="7" t="s">
        <v>132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 x14ac:dyDescent="0.35">
      <c r="A29" s="7" t="s">
        <v>133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 x14ac:dyDescent="0.35">
      <c r="A30" s="7" t="s">
        <v>134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 x14ac:dyDescent="0.35">
      <c r="A31" s="7" t="s">
        <v>135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 x14ac:dyDescent="0.35">
      <c r="A32" s="7" t="s">
        <v>136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35">
      <c r="A33" s="7" t="s">
        <v>137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35">
      <c r="A34" s="7" t="s">
        <v>138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35">
      <c r="A35" s="7" t="s">
        <v>139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35">
      <c r="A36" s="7" t="s">
        <v>140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35">
      <c r="A37" s="7" t="s">
        <v>141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35">
      <c r="A38" s="7" t="s">
        <v>142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35">
      <c r="A39" s="7" t="s">
        <v>143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35">
      <c r="A40" s="7" t="s">
        <v>144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35">
      <c r="A41" s="7" t="s">
        <v>145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35">
      <c r="A42" s="7" t="s">
        <v>146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35">
      <c r="A43" s="7" t="s">
        <v>147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35">
      <c r="A44" s="7" t="s">
        <v>148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35">
      <c r="A45" s="7" t="s">
        <v>149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35">
      <c r="A46" s="7" t="s">
        <v>111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35">
      <c r="A47" s="7" t="s">
        <v>112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35">
      <c r="A48" s="7" t="s">
        <v>113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35">
      <c r="A49" s="7" t="s">
        <v>114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35">
      <c r="A50" s="7" t="s">
        <v>115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35">
      <c r="A51" s="7" t="s">
        <v>116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35">
      <c r="A52" s="7" t="s">
        <v>117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35">
      <c r="A53" s="7" t="s">
        <v>118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35">
      <c r="A54" s="9" t="s">
        <v>119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zoomScaleNormal="100" workbookViewId="0">
      <selection activeCell="B8" sqref="B8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4" ht="21" x14ac:dyDescent="0.5">
      <c r="A1" s="40" t="s">
        <v>84</v>
      </c>
      <c r="B1" s="39" t="s">
        <v>166</v>
      </c>
    </row>
    <row r="2" spans="1:4" ht="18.5" x14ac:dyDescent="0.45">
      <c r="B2" s="38" t="s">
        <v>165</v>
      </c>
    </row>
    <row r="5" spans="1:4" ht="14.5" x14ac:dyDescent="0.35">
      <c r="B5" s="1" t="s">
        <v>150</v>
      </c>
    </row>
    <row r="6" spans="1:4" ht="14.5" x14ac:dyDescent="0.35">
      <c r="A6" s="3" t="s">
        <v>52</v>
      </c>
      <c r="B6" s="1" t="s">
        <v>176</v>
      </c>
    </row>
    <row r="7" spans="1:4" ht="14.5" x14ac:dyDescent="0.35">
      <c r="A7" s="3" t="s">
        <v>152</v>
      </c>
      <c r="B7" s="1" t="s">
        <v>177</v>
      </c>
    </row>
    <row r="10" spans="1:4" ht="23.5" x14ac:dyDescent="0.55000000000000004">
      <c r="A10" s="17" t="s">
        <v>161</v>
      </c>
    </row>
    <row r="11" spans="1:4" ht="14.5" x14ac:dyDescent="0.35">
      <c r="A11" s="31" t="s">
        <v>85</v>
      </c>
      <c r="B11" s="16" t="s">
        <v>86</v>
      </c>
      <c r="C11" s="16" t="s">
        <v>87</v>
      </c>
    </row>
    <row r="12" spans="1:4" ht="14.5" x14ac:dyDescent="0.35">
      <c r="A12" s="31">
        <v>44927</v>
      </c>
      <c r="B12" s="16" t="s">
        <v>58</v>
      </c>
      <c r="C12" s="16">
        <v>200</v>
      </c>
      <c r="D12" s="2">
        <f>IFERROR(C12, 20)</f>
        <v>200</v>
      </c>
    </row>
    <row r="13" spans="1:4" ht="14.5" x14ac:dyDescent="0.35">
      <c r="A13" s="31">
        <v>44928</v>
      </c>
      <c r="B13" s="16" t="s">
        <v>59</v>
      </c>
      <c r="C13" s="16" t="e">
        <v>#N/A</v>
      </c>
      <c r="D13" s="2">
        <f t="shared" ref="D13:D21" si="0">IFERROR(C13, 20)</f>
        <v>20</v>
      </c>
    </row>
    <row r="14" spans="1:4" ht="14.5" x14ac:dyDescent="0.35">
      <c r="A14" s="31">
        <v>44929</v>
      </c>
      <c r="B14" s="16" t="s">
        <v>60</v>
      </c>
      <c r="C14" s="16">
        <v>50</v>
      </c>
      <c r="D14" s="2">
        <f t="shared" si="0"/>
        <v>50</v>
      </c>
    </row>
    <row r="15" spans="1:4" ht="14.5" x14ac:dyDescent="0.35">
      <c r="A15" s="31">
        <v>44930</v>
      </c>
      <c r="B15" s="16" t="s">
        <v>61</v>
      </c>
      <c r="C15" s="16" t="e">
        <v>#N/A</v>
      </c>
      <c r="D15" s="2">
        <f t="shared" si="0"/>
        <v>20</v>
      </c>
    </row>
    <row r="16" spans="1:4" ht="14.5" x14ac:dyDescent="0.35">
      <c r="A16" s="31">
        <v>44931</v>
      </c>
      <c r="B16" s="16" t="s">
        <v>62</v>
      </c>
      <c r="C16" s="16">
        <v>10</v>
      </c>
      <c r="D16" s="2">
        <f t="shared" si="0"/>
        <v>10</v>
      </c>
    </row>
    <row r="17" spans="1:4" ht="14.5" x14ac:dyDescent="0.35">
      <c r="A17" s="31">
        <v>44932</v>
      </c>
      <c r="B17" s="16" t="s">
        <v>153</v>
      </c>
      <c r="C17" s="16">
        <v>150</v>
      </c>
      <c r="D17" s="2">
        <f t="shared" si="0"/>
        <v>150</v>
      </c>
    </row>
    <row r="18" spans="1:4" ht="14.5" x14ac:dyDescent="0.35">
      <c r="A18" s="31">
        <v>44933</v>
      </c>
      <c r="B18" s="16" t="s">
        <v>154</v>
      </c>
      <c r="C18" s="16">
        <v>80</v>
      </c>
      <c r="D18" s="2">
        <f t="shared" si="0"/>
        <v>80</v>
      </c>
    </row>
    <row r="19" spans="1:4" ht="14.5" x14ac:dyDescent="0.35">
      <c r="A19" s="31">
        <v>44934</v>
      </c>
      <c r="B19" s="16" t="s">
        <v>155</v>
      </c>
      <c r="C19" s="16" t="e">
        <v>#N/A</v>
      </c>
      <c r="D19" s="2">
        <f t="shared" si="0"/>
        <v>20</v>
      </c>
    </row>
    <row r="20" spans="1:4" ht="14.5" x14ac:dyDescent="0.35">
      <c r="A20" s="31">
        <v>44935</v>
      </c>
      <c r="B20" s="16" t="s">
        <v>156</v>
      </c>
      <c r="C20" s="16">
        <v>30</v>
      </c>
      <c r="D20" s="2">
        <f t="shared" si="0"/>
        <v>30</v>
      </c>
    </row>
    <row r="21" spans="1:4" ht="14.5" x14ac:dyDescent="0.35">
      <c r="A21" s="31">
        <v>44936</v>
      </c>
      <c r="B21" s="16" t="s">
        <v>157</v>
      </c>
      <c r="C21" s="16" t="e">
        <v>#N/A</v>
      </c>
      <c r="D21" s="2">
        <f t="shared" si="0"/>
        <v>20</v>
      </c>
    </row>
    <row r="22" spans="1:4" ht="14.5" x14ac:dyDescent="0.35">
      <c r="B22" s="16" t="s">
        <v>158</v>
      </c>
      <c r="C22" s="24"/>
      <c r="D22" s="2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opLeftCell="A13" zoomScaleNormal="100" workbookViewId="0">
      <selection activeCell="C24" sqref="C24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0" t="s">
        <v>97</v>
      </c>
      <c r="B1" s="39" t="s">
        <v>174</v>
      </c>
    </row>
    <row r="3" spans="1:14" ht="14.5" x14ac:dyDescent="0.35">
      <c r="B3" s="1" t="s">
        <v>150</v>
      </c>
    </row>
    <row r="4" spans="1:14" ht="18.5" x14ac:dyDescent="0.45">
      <c r="A4" s="41" t="s">
        <v>52</v>
      </c>
      <c r="B4" s="1" t="s">
        <v>178</v>
      </c>
    </row>
    <row r="5" spans="1:14" ht="18.5" x14ac:dyDescent="0.45">
      <c r="A5" s="41" t="s">
        <v>152</v>
      </c>
      <c r="B5" s="1" t="s">
        <v>179</v>
      </c>
    </row>
    <row r="6" spans="1:14" ht="14.5" x14ac:dyDescent="0.35">
      <c r="A6" s="3"/>
      <c r="B6" s="1"/>
    </row>
    <row r="8" spans="1:14" ht="23.5" x14ac:dyDescent="0.55000000000000004">
      <c r="A8" s="17" t="s">
        <v>161</v>
      </c>
      <c r="M8" s="17" t="s">
        <v>162</v>
      </c>
    </row>
    <row r="9" spans="1:14" ht="14.5" x14ac:dyDescent="0.35">
      <c r="A9" s="25"/>
      <c r="B9" s="25" t="s">
        <v>88</v>
      </c>
      <c r="C9" s="25" t="s">
        <v>89</v>
      </c>
      <c r="D9" s="25" t="s">
        <v>90</v>
      </c>
      <c r="E9" s="25" t="s">
        <v>91</v>
      </c>
      <c r="F9" s="25" t="s">
        <v>92</v>
      </c>
      <c r="G9" s="25" t="s">
        <v>93</v>
      </c>
      <c r="H9" s="25" t="s">
        <v>94</v>
      </c>
      <c r="I9" s="25" t="s">
        <v>95</v>
      </c>
      <c r="J9" s="25" t="s">
        <v>96</v>
      </c>
      <c r="M9" s="18" t="s">
        <v>43</v>
      </c>
      <c r="N9" s="18" t="s">
        <v>98</v>
      </c>
    </row>
    <row r="10" spans="1:14" ht="14.5" x14ac:dyDescent="0.35">
      <c r="A10" s="25" t="s">
        <v>88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88</v>
      </c>
    </row>
    <row r="11" spans="1:14" ht="14.5" x14ac:dyDescent="0.35">
      <c r="A11" s="25" t="s">
        <v>89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89</v>
      </c>
    </row>
    <row r="12" spans="1:14" ht="14.5" x14ac:dyDescent="0.35">
      <c r="A12" s="25" t="s">
        <v>90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90</v>
      </c>
    </row>
    <row r="13" spans="1:14" ht="14.5" x14ac:dyDescent="0.35">
      <c r="A13" s="25" t="s">
        <v>91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91</v>
      </c>
    </row>
    <row r="14" spans="1:14" ht="14.5" x14ac:dyDescent="0.35">
      <c r="A14" s="25" t="s">
        <v>92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92</v>
      </c>
    </row>
    <row r="15" spans="1:14" ht="14.5" x14ac:dyDescent="0.35">
      <c r="A15" s="25" t="s">
        <v>93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93</v>
      </c>
    </row>
    <row r="16" spans="1:14" ht="14.5" x14ac:dyDescent="0.35">
      <c r="A16" s="25" t="s">
        <v>94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94</v>
      </c>
    </row>
    <row r="17" spans="1:14" ht="14.5" x14ac:dyDescent="0.35">
      <c r="A17" s="25" t="s">
        <v>95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95</v>
      </c>
    </row>
    <row r="18" spans="1:14" ht="14.5" x14ac:dyDescent="0.35">
      <c r="A18" s="25" t="s">
        <v>96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96</v>
      </c>
    </row>
    <row r="21" spans="1:14" ht="23.5" x14ac:dyDescent="0.55000000000000004">
      <c r="A21" s="17" t="s">
        <v>167</v>
      </c>
    </row>
    <row r="22" spans="1:14" ht="14.5" x14ac:dyDescent="0.35">
      <c r="A22" s="13" t="s">
        <v>99</v>
      </c>
      <c r="B22" s="16" t="s">
        <v>100</v>
      </c>
      <c r="C22" s="15" t="s">
        <v>101</v>
      </c>
    </row>
    <row r="23" spans="1:14" ht="14.5" x14ac:dyDescent="0.35">
      <c r="A23" s="7">
        <v>10100</v>
      </c>
      <c r="B23" s="11">
        <v>10102</v>
      </c>
      <c r="C23" s="42">
        <f ca="1">VLOOKUP(VLOOKUP(C23, $M$10:$N$18,13, FALSE), $A$10:$J$18,2, FALSE)</f>
        <v>0</v>
      </c>
    </row>
    <row r="24" spans="1:14" ht="14.5" x14ac:dyDescent="0.35">
      <c r="A24" s="7">
        <v>10100</v>
      </c>
      <c r="B24" s="11">
        <v>10104</v>
      </c>
      <c r="C24" s="42">
        <f t="shared" ref="C24:C35" ca="1" si="0">VLOOKUP(VLOOKUP(C24, $M$10:$N$18,13, FALSE), $A$10:$J$18,2, FALSE)</f>
        <v>0</v>
      </c>
    </row>
    <row r="25" spans="1:14" ht="14.5" x14ac:dyDescent="0.35">
      <c r="A25" s="7">
        <v>10108</v>
      </c>
      <c r="B25" s="11">
        <v>10102</v>
      </c>
      <c r="C25" s="42">
        <f t="shared" ca="1" si="0"/>
        <v>0</v>
      </c>
    </row>
    <row r="26" spans="1:14" ht="14.5" x14ac:dyDescent="0.35">
      <c r="A26" s="7">
        <v>10100</v>
      </c>
      <c r="B26" s="11">
        <v>10106</v>
      </c>
      <c r="C26" s="42">
        <f t="shared" ca="1" si="0"/>
        <v>0</v>
      </c>
    </row>
    <row r="27" spans="1:14" ht="14.5" x14ac:dyDescent="0.35">
      <c r="A27" s="7">
        <v>10108</v>
      </c>
      <c r="B27" s="11">
        <v>10110</v>
      </c>
      <c r="C27" s="42">
        <f t="shared" ca="1" si="0"/>
        <v>0</v>
      </c>
    </row>
    <row r="28" spans="1:14" ht="14.5" x14ac:dyDescent="0.35">
      <c r="A28" s="7">
        <v>10102</v>
      </c>
      <c r="B28" s="11">
        <v>10104</v>
      </c>
      <c r="C28" s="42">
        <f t="shared" ca="1" si="0"/>
        <v>0</v>
      </c>
    </row>
    <row r="29" spans="1:14" ht="14.5" x14ac:dyDescent="0.35">
      <c r="A29" s="7">
        <v>10106</v>
      </c>
      <c r="B29" s="11">
        <v>10108</v>
      </c>
      <c r="C29" s="42">
        <f t="shared" ca="1" si="0"/>
        <v>0</v>
      </c>
    </row>
    <row r="30" spans="1:14" ht="14.5" x14ac:dyDescent="0.35">
      <c r="A30" s="7">
        <v>10102</v>
      </c>
      <c r="B30" s="11">
        <v>10106</v>
      </c>
      <c r="C30" s="42">
        <f t="shared" ca="1" si="0"/>
        <v>0</v>
      </c>
    </row>
    <row r="31" spans="1:14" ht="14.5" x14ac:dyDescent="0.35">
      <c r="A31" s="7">
        <v>10110</v>
      </c>
      <c r="B31" s="11">
        <v>10114</v>
      </c>
      <c r="C31" s="42">
        <f t="shared" ca="1" si="0"/>
        <v>0</v>
      </c>
    </row>
    <row r="32" spans="1:14" ht="14.5" x14ac:dyDescent="0.35">
      <c r="A32" s="7">
        <v>10104</v>
      </c>
      <c r="B32" s="11">
        <v>10106</v>
      </c>
      <c r="C32" s="42">
        <f t="shared" ca="1" si="0"/>
        <v>0</v>
      </c>
    </row>
    <row r="33" spans="1:3" ht="14.5" x14ac:dyDescent="0.35">
      <c r="A33" s="7">
        <v>10110</v>
      </c>
      <c r="B33" s="11">
        <v>10112</v>
      </c>
      <c r="C33" s="42">
        <f t="shared" ca="1" si="0"/>
        <v>0</v>
      </c>
    </row>
    <row r="34" spans="1:3" ht="14.5" x14ac:dyDescent="0.35">
      <c r="A34" s="7">
        <v>10100</v>
      </c>
      <c r="B34" s="11">
        <v>10114</v>
      </c>
      <c r="C34" s="42">
        <f t="shared" ca="1" si="0"/>
        <v>0</v>
      </c>
    </row>
    <row r="35" spans="1:3" ht="14.5" x14ac:dyDescent="0.35">
      <c r="A35" s="9">
        <v>10112</v>
      </c>
      <c r="B35" s="12">
        <v>10116</v>
      </c>
      <c r="C35" s="42">
        <f t="shared" ca="1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jatin jaglan</cp:lastModifiedBy>
  <dcterms:created xsi:type="dcterms:W3CDTF">2015-02-10T17:33:11Z</dcterms:created>
  <dcterms:modified xsi:type="dcterms:W3CDTF">2024-10-24T17:27:30Z</dcterms:modified>
</cp:coreProperties>
</file>